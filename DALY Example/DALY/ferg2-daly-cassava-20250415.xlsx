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31C1DC4-47B3-4173-BCF8-1DC73004D3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FO" sheetId="7" r:id="rId1"/>
    <sheet name="DM" sheetId="1" r:id="rId2"/>
    <sheet name="INC_konzo" sheetId="20" r:id="rId3"/>
    <sheet name="SURV_konzo" sheetId="21" r:id="rId4"/>
    <sheet name="CFR_konzo_YLD" sheetId="22" r:id="rId5"/>
    <sheet name="CFR_konzo_YLL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3" l="1"/>
  <c r="B5" i="23"/>
  <c r="B4" i="23"/>
  <c r="B6" i="22"/>
  <c r="B5" i="22"/>
  <c r="B4" i="22"/>
  <c r="B3" i="22"/>
  <c r="B2" i="22"/>
  <c r="B6" i="21"/>
  <c r="B5" i="21"/>
  <c r="B4" i="21"/>
  <c r="B3" i="21"/>
  <c r="B2" i="21"/>
  <c r="B6" i="20"/>
  <c r="B5" i="20"/>
  <c r="B4" i="20"/>
  <c r="E28" i="20"/>
  <c r="E28" i="22" l="1"/>
  <c r="F19" i="22"/>
  <c r="E19" i="22"/>
  <c r="D19" i="22"/>
  <c r="F15" i="22"/>
  <c r="E15" i="22"/>
  <c r="D15" i="22"/>
  <c r="F11" i="22"/>
  <c r="E11" i="22"/>
  <c r="D11" i="22"/>
  <c r="E28" i="21"/>
  <c r="F19" i="23"/>
  <c r="E19" i="23"/>
  <c r="D19" i="23"/>
  <c r="F15" i="23"/>
  <c r="E15" i="23"/>
  <c r="D15" i="23"/>
  <c r="F11" i="23"/>
  <c r="E11" i="23"/>
  <c r="D11" i="23"/>
  <c r="B3" i="23"/>
  <c r="B2" i="23"/>
  <c r="F19" i="21"/>
  <c r="E19" i="21"/>
  <c r="D19" i="21"/>
  <c r="F15" i="21"/>
  <c r="E15" i="21"/>
  <c r="D15" i="21"/>
  <c r="F11" i="21"/>
  <c r="E11" i="21"/>
  <c r="D11" i="21"/>
  <c r="F19" i="20"/>
  <c r="E19" i="20"/>
  <c r="D19" i="20"/>
  <c r="F15" i="20"/>
  <c r="E15" i="20"/>
  <c r="D15" i="20"/>
  <c r="F11" i="20"/>
  <c r="D11" i="20"/>
  <c r="B3" i="20" l="1"/>
  <c r="B2" i="20"/>
</calcChain>
</file>

<file path=xl/sharedStrings.xml><?xml version="1.0" encoding="utf-8"?>
<sst xmlns="http://schemas.openxmlformats.org/spreadsheetml/2006/main" count="252" uniqueCount="60">
  <si>
    <t>DURATION</t>
  </si>
  <si>
    <t>DISABILITY WEIGHT</t>
  </si>
  <si>
    <t>INC</t>
  </si>
  <si>
    <t>INFO</t>
  </si>
  <si>
    <t>TYPE</t>
  </si>
  <si>
    <t>NODE</t>
  </si>
  <si>
    <t>PARENT</t>
  </si>
  <si>
    <t>CONTRIBUTION</t>
  </si>
  <si>
    <t>INCIDENCE</t>
  </si>
  <si>
    <t>NA</t>
  </si>
  <si>
    <t>YLD</t>
  </si>
  <si>
    <t>NO</t>
  </si>
  <si>
    <t>ALL</t>
  </si>
  <si>
    <t>CAUSE</t>
  </si>
  <si>
    <t>LAST UPDATED</t>
  </si>
  <si>
    <t>AUTHOR</t>
  </si>
  <si>
    <t>FERG2 DALY CALCULATION TEMPLATE</t>
  </si>
  <si>
    <t>DATE</t>
  </si>
  <si>
    <t>VALUE</t>
  </si>
  <si>
    <t>COUNTRY</t>
  </si>
  <si>
    <t>YEAR</t>
  </si>
  <si>
    <t>Mean</t>
  </si>
  <si>
    <t>COMMENT</t>
  </si>
  <si>
    <t>AGE</t>
  </si>
  <si>
    <t>SEX</t>
  </si>
  <si>
    <t>Carlotta di Bari</t>
  </si>
  <si>
    <t>Male</t>
  </si>
  <si>
    <t>Lifelong</t>
  </si>
  <si>
    <t>PROB</t>
  </si>
  <si>
    <t xml:space="preserve">GBD data? </t>
  </si>
  <si>
    <t>Cassava</t>
  </si>
  <si>
    <t>INC_konzo</t>
  </si>
  <si>
    <t>SURV_konzo</t>
  </si>
  <si>
    <t>CFR_konzo_YLD</t>
  </si>
  <si>
    <t>CFR_konzo_YLL</t>
  </si>
  <si>
    <t>YLL</t>
  </si>
  <si>
    <t>Mode/Min/Max</t>
  </si>
  <si>
    <t>Female</t>
  </si>
  <si>
    <t>&lt;5</t>
  </si>
  <si>
    <t>5-14</t>
  </si>
  <si>
    <t>15-24</t>
  </si>
  <si>
    <t>25-34</t>
  </si>
  <si>
    <t>35-44</t>
  </si>
  <si>
    <t>45-54</t>
  </si>
  <si>
    <t>55-64</t>
  </si>
  <si>
    <t>65-74</t>
  </si>
  <si>
    <t>75+</t>
  </si>
  <si>
    <t>Beta</t>
  </si>
  <si>
    <t>55+</t>
  </si>
  <si>
    <t>Simulations</t>
  </si>
  <si>
    <t>incidence konzo</t>
  </si>
  <si>
    <t>Mean &amp; 95%CI</t>
  </si>
  <si>
    <t>73 out of 340 cases died -&gt; 340-73 cases survived</t>
  </si>
  <si>
    <t>73 out of 340 cases = 21% CFR; in average, patients die 1-7 years after onset</t>
  </si>
  <si>
    <t>sim_all_20250317.rds</t>
  </si>
  <si>
    <t>Transformation</t>
  </si>
  <si>
    <t>log</t>
  </si>
  <si>
    <t>DENOMINATOR</t>
  </si>
  <si>
    <t>SPLIT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</si>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</sst>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"/>
      <family val="2"/>
      <charset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7">
    <xf numFmtId="0" fontId="0" fillId="0" borderId="0"/>
    <xf numFmtId="0" fontId="1" fillId="2" borderId="1" applyNumberFormat="0" applyFont="0" applyAlignment="0" applyProtection="0"/>
    <xf numFmtId="0" fontId="3" fillId="3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3" applyNumberFormat="0" applyAlignment="0" applyProtection="0"/>
    <xf numFmtId="0" fontId="12" fillId="0" borderId="0"/>
  </cellStyleXfs>
  <cellXfs count="22">
    <xf numFmtId="0" fontId="0" fillId="0" borderId="0" xfId="0"/>
    <xf numFmtId="0" fontId="0" fillId="2" borderId="1" xfId="1" applyFont="1"/>
    <xf numFmtId="0" fontId="2" fillId="3" borderId="0" xfId="2" applyFont="1" applyAlignment="1">
      <alignment vertical="top"/>
    </xf>
    <xf numFmtId="0" fontId="0" fillId="2" borderId="1" xfId="1" applyFont="1" applyAlignment="1">
      <alignment vertical="top"/>
    </xf>
    <xf numFmtId="0" fontId="0" fillId="0" borderId="0" xfId="0" applyAlignment="1">
      <alignment vertical="top"/>
    </xf>
    <xf numFmtId="0" fontId="4" fillId="2" borderId="1" xfId="1" applyFont="1" applyAlignment="1">
      <alignment vertical="top"/>
    </xf>
    <xf numFmtId="0" fontId="5" fillId="0" borderId="2" xfId="3"/>
    <xf numFmtId="0" fontId="0" fillId="2" borderId="1" xfId="1" applyFont="1" applyAlignment="1">
      <alignment horizontal="left" vertical="top"/>
    </xf>
    <xf numFmtId="14" fontId="0" fillId="2" borderId="1" xfId="1" applyNumberFormat="1" applyFont="1" applyAlignment="1">
      <alignment horizontal="left" vertical="top"/>
    </xf>
    <xf numFmtId="0" fontId="0" fillId="2" borderId="1" xfId="1" applyFont="1" applyAlignment="1">
      <alignment horizontal="left" vertical="top" wrapText="1"/>
    </xf>
    <xf numFmtId="0" fontId="6" fillId="0" borderId="0" xfId="4"/>
    <xf numFmtId="0" fontId="0" fillId="5" borderId="0" xfId="0" applyFill="1" applyAlignment="1">
      <alignment vertical="top"/>
    </xf>
    <xf numFmtId="0" fontId="9" fillId="4" borderId="5" xfId="5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6" borderId="4" xfId="0" applyFont="1" applyFill="1" applyBorder="1" applyAlignment="1">
      <alignment vertical="top"/>
    </xf>
    <xf numFmtId="0" fontId="6" fillId="2" borderId="1" xfId="1" applyFont="1" applyAlignment="1">
      <alignment vertical="top"/>
    </xf>
    <xf numFmtId="49" fontId="8" fillId="6" borderId="4" xfId="0" applyNumberFormat="1" applyFont="1" applyFill="1" applyBorder="1" applyAlignment="1">
      <alignment vertical="top"/>
    </xf>
    <xf numFmtId="0" fontId="10" fillId="2" borderId="1" xfId="1" applyFont="1" applyAlignment="1">
      <alignment vertical="top"/>
    </xf>
    <xf numFmtId="0" fontId="11" fillId="0" borderId="0" xfId="0" applyFont="1" applyAlignment="1">
      <alignment vertical="center"/>
    </xf>
    <xf numFmtId="0" fontId="0" fillId="0" borderId="0" xfId="1" applyFont="1" applyFill="1" applyBorder="1"/>
    <xf numFmtId="3" fontId="0" fillId="2" borderId="1" xfId="1" applyNumberFormat="1" applyFont="1"/>
    <xf numFmtId="3" fontId="0" fillId="2" borderId="1" xfId="1" applyNumberFormat="1" applyFont="1" applyAlignment="1">
      <alignment horizontal="left"/>
    </xf>
  </cellXfs>
  <cellStyles count="7">
    <cellStyle name="Accent1" xfId="2" builtinId="29"/>
    <cellStyle name="Explanatory Text" xfId="4" builtinId="53"/>
    <cellStyle name="Heading 1" xfId="3" builtinId="16"/>
    <cellStyle name="Input" xfId="5" builtinId="20"/>
    <cellStyle name="Normal" xfId="0" builtinId="0"/>
    <cellStyle name="Note" xfId="1" builtinId="10"/>
    <cellStyle name="TableStyleLight1" xfId="6" xr:uid="{B2BD1135-0A80-4CBA-9F95-C4DE43641746}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8"/>
  <sheetViews>
    <sheetView workbookViewId="0"/>
  </sheetViews>
  <sheetFormatPr defaultRowHeight="15"/>
  <cols>
    <col min="1" max="1" width="15.28515625" customWidth="1"/>
    <col min="2" max="2" width="69.5703125" customWidth="1"/>
  </cols>
  <sheetData>
    <row r="1" spans="1:2" ht="20.25" thickBot="1">
      <c r="A1" s="6" t="s">
        <v>16</v>
      </c>
      <c r="B1" s="6"/>
    </row>
    <row r="2" spans="1:2" ht="15.75" thickTop="1"/>
    <row r="3" spans="1:2">
      <c r="A3" s="2" t="s">
        <v>13</v>
      </c>
      <c r="B3" s="7" t="s">
        <v>30</v>
      </c>
    </row>
    <row r="4" spans="1:2">
      <c r="A4" s="2" t="s">
        <v>15</v>
      </c>
      <c r="B4" s="7" t="s">
        <v>25</v>
      </c>
    </row>
    <row r="5" spans="1:2">
      <c r="A5" s="2" t="s">
        <v>14</v>
      </c>
      <c r="B5" s="8">
        <v>45720</v>
      </c>
    </row>
    <row r="6" spans="1:2">
      <c r="A6" s="2" t="s">
        <v>3</v>
      </c>
      <c r="B6" s="9"/>
    </row>
    <row r="8" spans="1:2">
      <c r="A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F6"/>
  <sheetViews>
    <sheetView tabSelected="1" zoomScale="110" zoomScaleNormal="110" workbookViewId="0"/>
  </sheetViews>
  <sheetFormatPr defaultRowHeight="15"/>
  <cols>
    <col min="1" max="6" width="25.7109375" customWidth="1"/>
  </cols>
  <sheetData>
    <row r="1" spans="1:6">
      <c r="A1" s="2" t="s">
        <v>5</v>
      </c>
      <c r="B1" s="2" t="s">
        <v>6</v>
      </c>
      <c r="C1" s="2" t="s">
        <v>4</v>
      </c>
      <c r="D1" s="2" t="s">
        <v>57</v>
      </c>
      <c r="E1" s="2" t="s">
        <v>7</v>
      </c>
      <c r="F1" s="2" t="s">
        <v>8</v>
      </c>
    </row>
    <row r="2" spans="1:6">
      <c r="A2" s="1" t="s">
        <v>31</v>
      </c>
      <c r="B2" s="1" t="s">
        <v>9</v>
      </c>
      <c r="C2" s="1" t="s">
        <v>2</v>
      </c>
      <c r="D2" s="20">
        <v>100000</v>
      </c>
      <c r="E2" s="1" t="s">
        <v>9</v>
      </c>
      <c r="F2" s="1" t="s">
        <v>59</v>
      </c>
    </row>
    <row r="3" spans="1:6">
      <c r="A3" s="1" t="s">
        <v>32</v>
      </c>
      <c r="B3" s="1" t="s">
        <v>31</v>
      </c>
      <c r="C3" s="1" t="s">
        <v>58</v>
      </c>
      <c r="D3" s="1">
        <v>1</v>
      </c>
      <c r="E3" s="1" t="s">
        <v>10</v>
      </c>
      <c r="F3" s="1" t="s">
        <v>11</v>
      </c>
    </row>
    <row r="4" spans="1:6">
      <c r="A4" s="1" t="s">
        <v>33</v>
      </c>
      <c r="B4" s="1" t="s">
        <v>31</v>
      </c>
      <c r="C4" s="1" t="s">
        <v>58</v>
      </c>
      <c r="D4" s="1">
        <v>1</v>
      </c>
      <c r="E4" s="1" t="s">
        <v>10</v>
      </c>
      <c r="F4" s="1" t="s">
        <v>11</v>
      </c>
    </row>
    <row r="5" spans="1:6">
      <c r="A5" s="1" t="s">
        <v>34</v>
      </c>
      <c r="B5" s="1" t="s">
        <v>33</v>
      </c>
      <c r="C5" s="1" t="s">
        <v>28</v>
      </c>
      <c r="D5" s="1">
        <v>1</v>
      </c>
      <c r="E5" s="1" t="s">
        <v>35</v>
      </c>
      <c r="F5" s="1" t="s">
        <v>11</v>
      </c>
    </row>
    <row r="6" spans="1:6">
      <c r="F6" s="19"/>
    </row>
  </sheetData>
  <phoneticPr fontId="13" type="noConversion"/>
  <dataValidations count="3">
    <dataValidation type="list" allowBlank="1" showInputMessage="1" showErrorMessage="1" sqref="F2:F5" xr:uid="{00000000-0002-0000-0100-000000000000}">
      <formula1>"YES,NO"</formula1>
    </dataValidation>
    <dataValidation type="list" allowBlank="1" showInputMessage="1" showErrorMessage="1" sqref="E2:E5" xr:uid="{00000000-0002-0000-0100-000001000000}">
      <formula1>"YLD,YLL,NA"</formula1>
    </dataValidation>
    <dataValidation type="list" allowBlank="1" showInputMessage="1" showErrorMessage="1" sqref="C2:C5" xr:uid="{00000000-0002-0000-0100-000002000000}">
      <formula1>"INC,PROB,SPLIT,RATIO"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888-9BFB-4D80-A96F-260C609DC4DF}">
  <sheetPr>
    <tabColor rgb="FFFFFFCC"/>
  </sheetPr>
  <dimension ref="A1:Q30"/>
  <sheetViews>
    <sheetView workbookViewId="0"/>
  </sheetViews>
  <sheetFormatPr defaultColWidth="8.85546875" defaultRowHeight="15"/>
  <cols>
    <col min="1" max="1" width="20.7109375" style="4" customWidth="1"/>
    <col min="2" max="8" width="15.7109375" style="4" customWidth="1"/>
    <col min="9" max="16384" width="8.85546875" style="4"/>
  </cols>
  <sheetData>
    <row r="1" spans="1:7">
      <c r="A1" s="2" t="s">
        <v>5</v>
      </c>
      <c r="B1" s="3" t="s">
        <v>31</v>
      </c>
    </row>
    <row r="2" spans="1:7">
      <c r="A2" s="2" t="s">
        <v>6</v>
      </c>
      <c r="B2" s="17" t="str">
        <f>VLOOKUP(B1,DM!A:F,2,FALSE)</f>
        <v>NA</v>
      </c>
    </row>
    <row r="3" spans="1:7">
      <c r="A3" s="2" t="s">
        <v>4</v>
      </c>
      <c r="B3" s="17" t="str">
        <f>VLOOKUP(B1,DM!A:F,3,FALSE)</f>
        <v>INC</v>
      </c>
    </row>
    <row r="4" spans="1:7">
      <c r="A4" s="2" t="s">
        <v>57</v>
      </c>
      <c r="B4" s="21">
        <f>VLOOKUP(B1,DM!A:F,4,FALSE)</f>
        <v>100000</v>
      </c>
    </row>
    <row r="5" spans="1:7">
      <c r="A5" s="2" t="s">
        <v>7</v>
      </c>
      <c r="B5" s="17" t="str">
        <f>VLOOKUP(B1,DM!A:F,5,FALSE)</f>
        <v>NA</v>
      </c>
    </row>
    <row r="6" spans="1:7">
      <c r="A6" s="2" t="s">
        <v>8</v>
      </c>
      <c r="B6" s="17" t="str">
        <f>VLOOKUP(B1,DM!A:F,6,FALSE)</f>
        <v>YES</v>
      </c>
      <c r="D6" s="18"/>
    </row>
    <row r="7" spans="1:7">
      <c r="A7" s="2" t="s">
        <v>17</v>
      </c>
      <c r="B7" s="8">
        <v>45734</v>
      </c>
    </row>
    <row r="8" spans="1:7">
      <c r="A8" s="2" t="s">
        <v>3</v>
      </c>
      <c r="B8" s="5"/>
    </row>
    <row r="9" spans="1:7">
      <c r="A9" s="11"/>
    </row>
    <row r="10" spans="1:7">
      <c r="A10" s="2" t="s">
        <v>18</v>
      </c>
      <c r="D10" s="12" t="s">
        <v>49</v>
      </c>
    </row>
    <row r="11" spans="1:7">
      <c r="A11" s="11"/>
      <c r="B11" s="13" t="s">
        <v>19</v>
      </c>
      <c r="C11" s="13" t="s">
        <v>20</v>
      </c>
      <c r="D11" s="14" t="str">
        <f>IF(D10="Simulations","File name",IF(D10="Mean","Mean",IF(D10="Gamma","Shape",IF(D10="Beta","Alpha",IF(D10="Mean &amp; 95%CI","Mean",IF(D10="Min/Max","Min",IF(D10="Mode/Min/Max","Mode","")))))))</f>
        <v>File name</v>
      </c>
      <c r="E11" s="14" t="s">
        <v>55</v>
      </c>
      <c r="F11" s="14" t="str">
        <f>IF(D10="Mean &amp; 95%CI","97.5%",IF(D10="Mode/Min/Max","Max",""))</f>
        <v/>
      </c>
      <c r="G11" s="13" t="s">
        <v>22</v>
      </c>
    </row>
    <row r="12" spans="1:7">
      <c r="A12" s="11"/>
      <c r="B12" s="3" t="s">
        <v>12</v>
      </c>
      <c r="C12" s="3" t="s">
        <v>12</v>
      </c>
      <c r="D12" s="3" t="s">
        <v>54</v>
      </c>
      <c r="E12" s="3" t="s">
        <v>56</v>
      </c>
      <c r="F12" s="3"/>
      <c r="G12" s="15" t="s">
        <v>50</v>
      </c>
    </row>
    <row r="13" spans="1:7">
      <c r="A13" s="11"/>
    </row>
    <row r="14" spans="1:7">
      <c r="A14" s="2" t="s">
        <v>0</v>
      </c>
      <c r="D14" s="12" t="s">
        <v>27</v>
      </c>
    </row>
    <row r="15" spans="1:7">
      <c r="A15" s="11"/>
      <c r="B15" s="13" t="s">
        <v>19</v>
      </c>
      <c r="C15" s="13" t="s">
        <v>20</v>
      </c>
      <c r="D15" s="14" t="str">
        <f>IF(D14="Mean","Mean",IF(D14="Gamma","Shape",IF(D14="Beta","Alpha",IF(D14="Mean &amp; 95%CI","Mean",IF(D14="Min/Max","Min",IF(D14="Mode/Min/Max","Mode",""))))))</f>
        <v/>
      </c>
      <c r="E15" s="14" t="str">
        <f>IF(D14="Gamma","Rate",IF(D14="Beta","Beta",IF(D14="Mean &amp; 95%CI","2.5%",IF(D14="Min/Max","Max",IF(D14="Mode/Min/Max","Min","")))))</f>
        <v/>
      </c>
      <c r="F15" s="14" t="str">
        <f>IF(D14="Mean &amp; 95%CI","97.5%",IF(D14="Mode/Min/Max","Max",""))</f>
        <v/>
      </c>
      <c r="G15" s="13" t="s">
        <v>22</v>
      </c>
    </row>
    <row r="16" spans="1:7">
      <c r="A16" s="11"/>
      <c r="B16" s="3" t="s">
        <v>12</v>
      </c>
      <c r="C16" s="3" t="s">
        <v>12</v>
      </c>
      <c r="D16" s="3"/>
      <c r="E16" s="3"/>
      <c r="F16" s="3"/>
      <c r="G16" s="15"/>
    </row>
    <row r="17" spans="1:17">
      <c r="A17" s="11"/>
    </row>
    <row r="18" spans="1:17">
      <c r="A18" s="2" t="s">
        <v>1</v>
      </c>
      <c r="D18" s="12" t="s">
        <v>21</v>
      </c>
    </row>
    <row r="19" spans="1:17">
      <c r="A19" s="11"/>
      <c r="B19" s="13" t="s">
        <v>19</v>
      </c>
      <c r="C19" s="13" t="s">
        <v>20</v>
      </c>
      <c r="D19" s="14" t="str">
        <f>IF(D18="Mean","Mean",IF(D18="Gamma","Shape",IF(D18="Beta","Alpha",IF(D18="Mean &amp; 95%CI","Mean",IF(D18="Min/Max","Min",IF(D18="Mode/Min/Max","Mode",""))))))</f>
        <v>Mean</v>
      </c>
      <c r="E19" s="14" t="str">
        <f>IF(D18="Gamma","Rate",IF(D18="Beta","Beta",IF(D18="Mean &amp; 95%CI","2.5%",IF(D18="Min/Max","Max",IF(D18="Mode/Min/Max","Min","")))))</f>
        <v/>
      </c>
      <c r="F19" s="14" t="str">
        <f>IF(D18="Mean &amp; 95%CI","97.5%",IF(D18="Mode/Min/Max","Max",""))</f>
        <v/>
      </c>
      <c r="G19" s="13" t="s">
        <v>22</v>
      </c>
    </row>
    <row r="20" spans="1:17">
      <c r="A20" s="11"/>
      <c r="B20" s="3" t="s">
        <v>12</v>
      </c>
      <c r="C20" s="3" t="s">
        <v>12</v>
      </c>
      <c r="D20" s="3" t="s">
        <v>9</v>
      </c>
      <c r="E20" s="3"/>
      <c r="F20" s="3"/>
      <c r="G20" s="15"/>
    </row>
    <row r="21" spans="1:17">
      <c r="A21" s="11"/>
    </row>
    <row r="22" spans="1:17">
      <c r="A22" s="2" t="s">
        <v>23</v>
      </c>
    </row>
    <row r="23" spans="1:17">
      <c r="A23" s="11"/>
      <c r="B23" s="13" t="s">
        <v>19</v>
      </c>
      <c r="C23" s="13" t="s">
        <v>20</v>
      </c>
      <c r="D23" s="16" t="s">
        <v>38</v>
      </c>
      <c r="E23" s="16" t="s">
        <v>39</v>
      </c>
      <c r="F23" s="16" t="s">
        <v>40</v>
      </c>
      <c r="G23" s="16" t="s">
        <v>41</v>
      </c>
      <c r="H23" s="16" t="s">
        <v>42</v>
      </c>
      <c r="I23" s="16" t="s">
        <v>43</v>
      </c>
      <c r="J23" s="16" t="s">
        <v>44</v>
      </c>
      <c r="K23" s="16" t="s">
        <v>45</v>
      </c>
      <c r="L23" s="16" t="s">
        <v>46</v>
      </c>
      <c r="M23" s="16"/>
      <c r="N23" s="16"/>
      <c r="O23" s="16"/>
      <c r="P23" s="13" t="s">
        <v>22</v>
      </c>
    </row>
    <row r="24" spans="1:17">
      <c r="A24" s="11"/>
      <c r="B24" s="3" t="s">
        <v>12</v>
      </c>
      <c r="C24" s="3" t="s">
        <v>12</v>
      </c>
      <c r="D24" s="3">
        <v>4.5690000000000001E-2</v>
      </c>
      <c r="E24" s="3">
        <v>0.45684999999999998</v>
      </c>
      <c r="F24" s="3">
        <v>0.20812</v>
      </c>
      <c r="G24" s="3">
        <v>0.20812</v>
      </c>
      <c r="H24" s="3">
        <v>5.076E-2</v>
      </c>
      <c r="I24" s="3">
        <v>1.523E-2</v>
      </c>
      <c r="J24" s="3">
        <v>1.0149999999999999E-2</v>
      </c>
      <c r="K24" s="3">
        <v>5.0800000000000003E-3</v>
      </c>
      <c r="L24" s="3">
        <v>0</v>
      </c>
      <c r="M24" s="3"/>
      <c r="N24" s="3"/>
      <c r="O24" s="3"/>
      <c r="P24" s="15"/>
    </row>
    <row r="25" spans="1:17">
      <c r="A25" s="11"/>
    </row>
    <row r="26" spans="1:17">
      <c r="A26" s="2" t="s">
        <v>24</v>
      </c>
    </row>
    <row r="27" spans="1:17">
      <c r="A27" s="11"/>
      <c r="B27" s="13" t="s">
        <v>19</v>
      </c>
      <c r="C27" s="13" t="s">
        <v>20</v>
      </c>
      <c r="D27" s="14" t="s">
        <v>26</v>
      </c>
      <c r="E27" s="14" t="s">
        <v>37</v>
      </c>
      <c r="F27" s="13" t="s">
        <v>22</v>
      </c>
    </row>
    <row r="28" spans="1:17">
      <c r="A28" s="11"/>
      <c r="B28" s="3" t="s">
        <v>12</v>
      </c>
      <c r="C28" s="3" t="s">
        <v>12</v>
      </c>
      <c r="D28" s="3">
        <v>0.34010000000000001</v>
      </c>
      <c r="E28" s="3">
        <f>1-D28</f>
        <v>0.65989999999999993</v>
      </c>
      <c r="F28" s="15"/>
    </row>
    <row r="29" spans="1:1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</sheetData>
  <dataValidations disablePrompts="1" count="3">
    <dataValidation type="list" allowBlank="1" showInputMessage="1" showErrorMessage="1" sqref="D10 D18" xr:uid="{7EDB8FBA-4F81-4318-919D-5AA956E94A65}">
      <formula1>"Simulations,Gamma,Beta,Mean,Mean &amp; 95%CI,Min/Max,Mode/Min/Max"</formula1>
    </dataValidation>
    <dataValidation type="list" allowBlank="1" showInputMessage="1" showErrorMessage="1" sqref="D27:E27" xr:uid="{E2EDD4A9-E0E9-4138-970C-B79B76C3207D}">
      <formula1>"Both sexes,Male,Female"</formula1>
    </dataValidation>
    <dataValidation type="list" allowBlank="1" showInputMessage="1" showErrorMessage="1" sqref="D14" xr:uid="{CDF8B308-836D-41FE-90C1-42BF4C0633CB}">
      <formula1>"Simulations,Gamma,Beta,Mean,Mean &amp; 95%CI,Min/Max,Mode/Min/Max,Lifelong"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F3C5-3885-4262-ABBF-9BD4619D4241}">
  <sheetPr>
    <tabColor rgb="FFFFFFCC"/>
  </sheetPr>
  <dimension ref="A1:Q30"/>
  <sheetViews>
    <sheetView workbookViewId="0"/>
  </sheetViews>
  <sheetFormatPr defaultColWidth="8.85546875" defaultRowHeight="15"/>
  <cols>
    <col min="1" max="1" width="20.7109375" style="4" customWidth="1"/>
    <col min="2" max="8" width="15.7109375" style="4" customWidth="1"/>
    <col min="9" max="16384" width="8.85546875" style="4"/>
  </cols>
  <sheetData>
    <row r="1" spans="1:7">
      <c r="A1" s="2" t="s">
        <v>5</v>
      </c>
      <c r="B1" s="3" t="s">
        <v>32</v>
      </c>
    </row>
    <row r="2" spans="1:7">
      <c r="A2" s="2" t="s">
        <v>6</v>
      </c>
      <c r="B2" s="17" t="str">
        <f>VLOOKUP(B1,DM!A:F,2,FALSE)</f>
        <v>INC_konzo</v>
      </c>
    </row>
    <row r="3" spans="1:7">
      <c r="A3" s="2" t="s">
        <v>4</v>
      </c>
      <c r="B3" s="17" t="str">
        <f>VLOOKUP(B1,DM!A:F,3,FALSE)</f>
        <v>SPLIT</v>
      </c>
    </row>
    <row r="4" spans="1:7">
      <c r="A4" s="2" t="s">
        <v>57</v>
      </c>
      <c r="B4" s="21">
        <f>VLOOKUP(B1,DM!A:F,4,FALSE)</f>
        <v>1</v>
      </c>
    </row>
    <row r="5" spans="1:7">
      <c r="A5" s="2" t="s">
        <v>7</v>
      </c>
      <c r="B5" s="17" t="str">
        <f>VLOOKUP(B1,DM!A:F,5,FALSE)</f>
        <v>YLD</v>
      </c>
    </row>
    <row r="6" spans="1:7">
      <c r="A6" s="2" t="s">
        <v>8</v>
      </c>
      <c r="B6" s="17" t="str">
        <f>VLOOKUP(B1,DM!A:F,6,FALSE)</f>
        <v>NO</v>
      </c>
      <c r="D6" s="18"/>
    </row>
    <row r="7" spans="1:7">
      <c r="A7" s="2" t="s">
        <v>17</v>
      </c>
      <c r="B7" s="8">
        <v>45397</v>
      </c>
    </row>
    <row r="8" spans="1:7">
      <c r="A8" s="2" t="s">
        <v>3</v>
      </c>
      <c r="B8" s="5"/>
    </row>
    <row r="9" spans="1:7">
      <c r="A9" s="11"/>
    </row>
    <row r="10" spans="1:7">
      <c r="A10" s="2" t="s">
        <v>18</v>
      </c>
      <c r="D10" s="12" t="s">
        <v>47</v>
      </c>
    </row>
    <row r="11" spans="1:7">
      <c r="A11" s="11"/>
      <c r="B11" s="13" t="s">
        <v>19</v>
      </c>
      <c r="C11" s="13" t="s">
        <v>20</v>
      </c>
      <c r="D11" s="14" t="str">
        <f>IF(D10="Simulations","File name",IF(D10="Mean","Mean",IF(D10="Gamma","Shape",IF(D10="Beta","Alpha",IF(D10="Mean &amp; 95%CI","Mean",IF(D10="Min/Max","Min",IF(D10="Mode/Min/Max","Mode","")))))))</f>
        <v>Alpha</v>
      </c>
      <c r="E11" s="14" t="str">
        <f>IF(D10="Gamma","Rate",IF(D10="Beta","Beta",IF(D10="Mean &amp; 95%CI","2.5%",IF(D10="Min/Max","Max",IF(D10="Mode/Min/Max","Min","")))))</f>
        <v>Beta</v>
      </c>
      <c r="F11" s="14" t="str">
        <f>IF(D10="Mean &amp; 95%CI","97.5%",IF(D10="Mode/Min/Max","Max",""))</f>
        <v/>
      </c>
      <c r="G11" s="13" t="s">
        <v>22</v>
      </c>
    </row>
    <row r="12" spans="1:7">
      <c r="A12" s="11"/>
      <c r="B12" s="3" t="s">
        <v>12</v>
      </c>
      <c r="C12" s="3" t="s">
        <v>12</v>
      </c>
      <c r="D12" s="3">
        <v>267</v>
      </c>
      <c r="E12" s="3">
        <v>73</v>
      </c>
      <c r="F12" s="3"/>
      <c r="G12" s="15" t="s">
        <v>52</v>
      </c>
    </row>
    <row r="13" spans="1:7">
      <c r="A13" s="11"/>
    </row>
    <row r="14" spans="1:7">
      <c r="A14" s="2" t="s">
        <v>0</v>
      </c>
      <c r="D14" s="12" t="s">
        <v>27</v>
      </c>
    </row>
    <row r="15" spans="1:7">
      <c r="A15" s="11"/>
      <c r="B15" s="13" t="s">
        <v>19</v>
      </c>
      <c r="C15" s="13" t="s">
        <v>20</v>
      </c>
      <c r="D15" s="14" t="str">
        <f>IF(D14="Mean","Mean",IF(D14="Gamma","Shape",IF(D14="Beta","Alpha",IF(D14="Mean &amp; 95%CI","Mean",IF(D14="Min/Max","Min",IF(D14="Mode/Min/Max","Mode",""))))))</f>
        <v/>
      </c>
      <c r="E15" s="14" t="str">
        <f>IF(D14="Gamma","Rate",IF(D14="Beta","Beta",IF(D14="Mean &amp; 95%CI","2.5%",IF(D14="Min/Max","Max",IF(D14="Mode/Min/Max","Min","")))))</f>
        <v/>
      </c>
      <c r="F15" s="14" t="str">
        <f>IF(D14="Mean &amp; 95%CI","97.5%",IF(D14="Mode/Min/Max","Max",""))</f>
        <v/>
      </c>
      <c r="G15" s="13" t="s">
        <v>22</v>
      </c>
    </row>
    <row r="16" spans="1:7">
      <c r="A16" s="11"/>
      <c r="B16" s="3" t="s">
        <v>12</v>
      </c>
      <c r="C16" s="3" t="s">
        <v>12</v>
      </c>
      <c r="D16" s="3"/>
      <c r="E16" s="3"/>
      <c r="F16" s="3"/>
      <c r="G16" s="15"/>
    </row>
    <row r="17" spans="1:17">
      <c r="A17" s="11"/>
    </row>
    <row r="18" spans="1:17">
      <c r="A18" s="2" t="s">
        <v>1</v>
      </c>
      <c r="D18" s="12" t="s">
        <v>51</v>
      </c>
    </row>
    <row r="19" spans="1:17">
      <c r="A19" s="11"/>
      <c r="B19" s="13" t="s">
        <v>19</v>
      </c>
      <c r="C19" s="13" t="s">
        <v>20</v>
      </c>
      <c r="D19" s="14" t="str">
        <f>IF(D18="Mean","Mean",IF(D18="Gamma","Shape",IF(D18="Beta","Alpha",IF(D18="Mean &amp; 95%CI","Mean",IF(D18="Min/Max","Min",IF(D18="Mode/Min/Max","Mode",""))))))</f>
        <v>Mean</v>
      </c>
      <c r="E19" s="14" t="str">
        <f>IF(D18="Gamma","Rate",IF(D18="Beta","Beta",IF(D18="Mean &amp; 95%CI","2.5%",IF(D18="Min/Max","Max",IF(D18="Mode/Min/Max","Min","")))))</f>
        <v>2.5%</v>
      </c>
      <c r="F19" s="14" t="str">
        <f>IF(D18="Mean &amp; 95%CI","97.5%",IF(D18="Mode/Min/Max","Max",""))</f>
        <v>97.5%</v>
      </c>
      <c r="G19" s="13" t="s">
        <v>22</v>
      </c>
    </row>
    <row r="20" spans="1:17">
      <c r="A20" s="11"/>
      <c r="B20" s="3" t="s">
        <v>12</v>
      </c>
      <c r="C20" s="3" t="s">
        <v>12</v>
      </c>
      <c r="D20" s="3">
        <v>6.3E-2</v>
      </c>
      <c r="E20" s="3">
        <v>4.7E-2</v>
      </c>
      <c r="F20" s="3">
        <v>0.08</v>
      </c>
      <c r="G20" s="15"/>
    </row>
    <row r="21" spans="1:17">
      <c r="A21" s="11"/>
    </row>
    <row r="22" spans="1:17">
      <c r="A22" s="2" t="s">
        <v>23</v>
      </c>
    </row>
    <row r="23" spans="1:17">
      <c r="A23" s="11"/>
      <c r="B23" s="13" t="s">
        <v>19</v>
      </c>
      <c r="C23" s="13" t="s">
        <v>20</v>
      </c>
      <c r="D23" s="16" t="s">
        <v>38</v>
      </c>
      <c r="E23" s="16" t="s">
        <v>39</v>
      </c>
      <c r="F23" s="16" t="s">
        <v>40</v>
      </c>
      <c r="G23" s="16" t="s">
        <v>41</v>
      </c>
      <c r="H23" s="16" t="s">
        <v>42</v>
      </c>
      <c r="I23" s="16" t="s">
        <v>43</v>
      </c>
      <c r="J23" s="16" t="s">
        <v>44</v>
      </c>
      <c r="K23" s="16" t="s">
        <v>45</v>
      </c>
      <c r="L23" s="16" t="s">
        <v>46</v>
      </c>
      <c r="M23" s="16"/>
      <c r="N23" s="16"/>
      <c r="O23" s="16"/>
      <c r="P23" s="13" t="s">
        <v>22</v>
      </c>
    </row>
    <row r="24" spans="1:17">
      <c r="A24" s="11"/>
      <c r="B24" s="3" t="s">
        <v>12</v>
      </c>
      <c r="C24" s="3" t="s">
        <v>12</v>
      </c>
      <c r="D24" s="3">
        <v>4.5690000000000001E-2</v>
      </c>
      <c r="E24" s="3">
        <v>0.45684999999999998</v>
      </c>
      <c r="F24" s="3">
        <v>0.20812</v>
      </c>
      <c r="G24" s="3">
        <v>0.20812</v>
      </c>
      <c r="H24" s="3">
        <v>5.076E-2</v>
      </c>
      <c r="I24" s="3">
        <v>1.523E-2</v>
      </c>
      <c r="J24" s="3">
        <v>1.0149999999999999E-2</v>
      </c>
      <c r="K24" s="3">
        <v>5.0800000000000003E-3</v>
      </c>
      <c r="L24" s="3">
        <v>0</v>
      </c>
      <c r="M24" s="3"/>
      <c r="N24" s="3"/>
      <c r="O24" s="3"/>
      <c r="P24" s="15"/>
    </row>
    <row r="25" spans="1:17">
      <c r="A25" s="11"/>
    </row>
    <row r="26" spans="1:17">
      <c r="A26" s="2" t="s">
        <v>24</v>
      </c>
    </row>
    <row r="27" spans="1:17">
      <c r="A27" s="11"/>
      <c r="B27" s="13" t="s">
        <v>19</v>
      </c>
      <c r="C27" s="13" t="s">
        <v>20</v>
      </c>
      <c r="D27" s="14" t="s">
        <v>26</v>
      </c>
      <c r="E27" s="14" t="s">
        <v>37</v>
      </c>
      <c r="F27" s="13" t="s">
        <v>22</v>
      </c>
    </row>
    <row r="28" spans="1:17">
      <c r="A28" s="11"/>
      <c r="B28" s="3" t="s">
        <v>12</v>
      </c>
      <c r="C28" s="3" t="s">
        <v>12</v>
      </c>
      <c r="D28" s="3">
        <v>0.34010152284263961</v>
      </c>
      <c r="E28" s="3">
        <f>1-D28</f>
        <v>0.65989847715736039</v>
      </c>
      <c r="F28" s="15"/>
    </row>
    <row r="29" spans="1:1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</sheetData>
  <dataValidations count="3">
    <dataValidation type="list" allowBlank="1" showInputMessage="1" showErrorMessage="1" sqref="D27:E27" xr:uid="{B0F4DA99-C5B1-4811-83C2-6B2F7CAFD6B9}">
      <formula1>"Both sexes,Male,Female"</formula1>
    </dataValidation>
    <dataValidation type="list" allowBlank="1" showInputMessage="1" showErrorMessage="1" sqref="D10 D18" xr:uid="{A742FEA7-B55C-4662-9D24-C97ECCC398A1}">
      <formula1>"Simulations,Gamma,Beta,Mean,Mean &amp; 95%CI,Min/Max,Mode/Min/Max"</formula1>
    </dataValidation>
    <dataValidation type="list" allowBlank="1" showInputMessage="1" showErrorMessage="1" sqref="D14" xr:uid="{AE62D5E6-B4A4-4228-9238-E22924A45D2A}">
      <formula1>"Simulations,Gamma,Beta,Mean,Mean &amp; 95%CI,Min/Max,Mode/Min/Max,Lifelong"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25F3-DA87-4447-A65D-5397F6DF3F68}">
  <sheetPr>
    <tabColor rgb="FFFFFFCC"/>
  </sheetPr>
  <dimension ref="A1:Q30"/>
  <sheetViews>
    <sheetView workbookViewId="0"/>
  </sheetViews>
  <sheetFormatPr defaultColWidth="8.85546875" defaultRowHeight="15"/>
  <cols>
    <col min="1" max="1" width="20.7109375" style="4" customWidth="1"/>
    <col min="2" max="8" width="15.7109375" style="4" customWidth="1"/>
    <col min="9" max="16384" width="8.85546875" style="4"/>
  </cols>
  <sheetData>
    <row r="1" spans="1:7">
      <c r="A1" s="2" t="s">
        <v>5</v>
      </c>
      <c r="B1" s="3" t="s">
        <v>33</v>
      </c>
    </row>
    <row r="2" spans="1:7">
      <c r="A2" s="2" t="s">
        <v>6</v>
      </c>
      <c r="B2" s="17" t="str">
        <f>VLOOKUP(B1,DM!A:F,2,FALSE)</f>
        <v>INC_konzo</v>
      </c>
    </row>
    <row r="3" spans="1:7">
      <c r="A3" s="2" t="s">
        <v>4</v>
      </c>
      <c r="B3" s="17" t="str">
        <f>VLOOKUP(B1,DM!A:F,3,FALSE)</f>
        <v>SPLIT</v>
      </c>
    </row>
    <row r="4" spans="1:7">
      <c r="A4" s="2" t="s">
        <v>57</v>
      </c>
      <c r="B4" s="21">
        <f>VLOOKUP(B1,DM!A:F,4,FALSE)</f>
        <v>1</v>
      </c>
    </row>
    <row r="5" spans="1:7">
      <c r="A5" s="2" t="s">
        <v>7</v>
      </c>
      <c r="B5" s="17" t="str">
        <f>VLOOKUP(B1,DM!A:F,5,FALSE)</f>
        <v>YLD</v>
      </c>
    </row>
    <row r="6" spans="1:7">
      <c r="A6" s="2" t="s">
        <v>8</v>
      </c>
      <c r="B6" s="17" t="str">
        <f>VLOOKUP(B1,DM!A:F,6,FALSE)</f>
        <v>NO</v>
      </c>
      <c r="D6" s="18"/>
    </row>
    <row r="7" spans="1:7">
      <c r="A7" s="2" t="s">
        <v>17</v>
      </c>
      <c r="B7" s="8">
        <v>45397</v>
      </c>
    </row>
    <row r="8" spans="1:7">
      <c r="A8" s="2" t="s">
        <v>3</v>
      </c>
      <c r="B8" s="5"/>
    </row>
    <row r="9" spans="1:7">
      <c r="A9" s="11"/>
    </row>
    <row r="10" spans="1:7">
      <c r="A10" s="2" t="s">
        <v>18</v>
      </c>
      <c r="D10" s="12" t="s">
        <v>47</v>
      </c>
    </row>
    <row r="11" spans="1:7">
      <c r="A11" s="11"/>
      <c r="B11" s="13" t="s">
        <v>19</v>
      </c>
      <c r="C11" s="13" t="s">
        <v>20</v>
      </c>
      <c r="D11" s="14" t="str">
        <f>IF(D10="Simulations","File name",IF(D10="Mean","Mean",IF(D10="Gamma","Shape",IF(D10="Beta","Alpha",IF(D10="Mean &amp; 95%CI","Mean",IF(D10="Min/Max","Min",IF(D10="Mode/Min/Max","Mode","")))))))</f>
        <v>Alpha</v>
      </c>
      <c r="E11" s="14" t="str">
        <f>IF(D10="Gamma","Rate",IF(D10="Beta","Beta",IF(D10="Mean &amp; 95%CI","2.5%",IF(D10="Min/Max","Max",IF(D10="Mode/Min/Max","Min","")))))</f>
        <v>Beta</v>
      </c>
      <c r="F11" s="14" t="str">
        <f>IF(D10="Mean &amp; 95%CI","97.5%",IF(D10="Mode/Min/Max","Max",""))</f>
        <v/>
      </c>
      <c r="G11" s="13" t="s">
        <v>22</v>
      </c>
    </row>
    <row r="12" spans="1:7">
      <c r="A12" s="11"/>
      <c r="B12" s="3" t="s">
        <v>12</v>
      </c>
      <c r="C12" s="3" t="s">
        <v>12</v>
      </c>
      <c r="D12" s="3">
        <v>73</v>
      </c>
      <c r="E12" s="3">
        <v>267</v>
      </c>
      <c r="F12" s="3"/>
      <c r="G12" s="15" t="s">
        <v>53</v>
      </c>
    </row>
    <row r="13" spans="1:7">
      <c r="A13" s="11"/>
    </row>
    <row r="14" spans="1:7">
      <c r="A14" s="2" t="s">
        <v>0</v>
      </c>
      <c r="D14" s="12" t="s">
        <v>36</v>
      </c>
    </row>
    <row r="15" spans="1:7">
      <c r="A15" s="11"/>
      <c r="B15" s="13" t="s">
        <v>19</v>
      </c>
      <c r="C15" s="13" t="s">
        <v>20</v>
      </c>
      <c r="D15" s="14" t="str">
        <f>IF(D14="Mean","Mean",IF(D14="Gamma","Shape",IF(D14="Beta","Alpha",IF(D14="Mean &amp; 95%CI","Mean",IF(D14="Min/Max","Min",IF(D14="Mode/Min/Max","Mode",""))))))</f>
        <v>Mode</v>
      </c>
      <c r="E15" s="14" t="str">
        <f>IF(D14="Gamma","Rate",IF(D14="Beta","Beta",IF(D14="Mean &amp; 95%CI","2.5%",IF(D14="Min/Max","Max",IF(D14="Mode/Min/Max","Min","")))))</f>
        <v>Min</v>
      </c>
      <c r="F15" s="14" t="str">
        <f>IF(D14="Mean &amp; 95%CI","97.5%",IF(D14="Mode/Min/Max","Max",""))</f>
        <v>Max</v>
      </c>
      <c r="G15" s="13" t="s">
        <v>22</v>
      </c>
    </row>
    <row r="16" spans="1:7">
      <c r="A16" s="11"/>
      <c r="B16" s="3" t="s">
        <v>12</v>
      </c>
      <c r="C16" s="3" t="s">
        <v>12</v>
      </c>
      <c r="D16" s="3">
        <v>3</v>
      </c>
      <c r="E16" s="3">
        <v>1</v>
      </c>
      <c r="F16" s="3">
        <v>7</v>
      </c>
      <c r="G16" s="15"/>
    </row>
    <row r="17" spans="1:17">
      <c r="A17" s="11"/>
    </row>
    <row r="18" spans="1:17">
      <c r="A18" s="2" t="s">
        <v>1</v>
      </c>
      <c r="D18" s="12" t="s">
        <v>51</v>
      </c>
    </row>
    <row r="19" spans="1:17">
      <c r="A19" s="11"/>
      <c r="B19" s="13" t="s">
        <v>19</v>
      </c>
      <c r="C19" s="13" t="s">
        <v>20</v>
      </c>
      <c r="D19" s="14" t="str">
        <f>IF(D18="Mean","Mean",IF(D18="Gamma","Shape",IF(D18="Beta","Alpha",IF(D18="Mean &amp; 95%CI","Mean",IF(D18="Min/Max","Min",IF(D18="Mode/Min/Max","Mode",""))))))</f>
        <v>Mean</v>
      </c>
      <c r="E19" s="14" t="str">
        <f>IF(D18="Gamma","Rate",IF(D18="Beta","Beta",IF(D18="Mean &amp; 95%CI","2.5%",IF(D18="Min/Max","Max",IF(D18="Mode/Min/Max","Min","")))))</f>
        <v>2.5%</v>
      </c>
      <c r="F19" s="14" t="str">
        <f>IF(D18="Mean &amp; 95%CI","97.5%",IF(D18="Mode/Min/Max","Max",""))</f>
        <v>97.5%</v>
      </c>
      <c r="G19" s="13" t="s">
        <v>22</v>
      </c>
    </row>
    <row r="20" spans="1:17">
      <c r="A20" s="11"/>
      <c r="B20" s="3" t="s">
        <v>12</v>
      </c>
      <c r="C20" s="3" t="s">
        <v>12</v>
      </c>
      <c r="D20" s="3">
        <v>6.3E-2</v>
      </c>
      <c r="E20" s="3">
        <v>4.7E-2</v>
      </c>
      <c r="F20" s="3">
        <v>0.08</v>
      </c>
      <c r="G20" s="15"/>
    </row>
    <row r="21" spans="1:17">
      <c r="A21" s="11"/>
    </row>
    <row r="22" spans="1:17">
      <c r="A22" s="2" t="s">
        <v>23</v>
      </c>
    </row>
    <row r="23" spans="1:17">
      <c r="A23" s="11"/>
      <c r="B23" s="13" t="s">
        <v>19</v>
      </c>
      <c r="C23" s="13" t="s">
        <v>20</v>
      </c>
      <c r="D23" s="16" t="s">
        <v>38</v>
      </c>
      <c r="E23" s="16" t="s">
        <v>39</v>
      </c>
      <c r="F23" s="16" t="s">
        <v>40</v>
      </c>
      <c r="G23" s="16" t="s">
        <v>41</v>
      </c>
      <c r="H23" s="16" t="s">
        <v>42</v>
      </c>
      <c r="I23" s="16" t="s">
        <v>43</v>
      </c>
      <c r="J23" s="16" t="s">
        <v>44</v>
      </c>
      <c r="K23" s="16" t="s">
        <v>45</v>
      </c>
      <c r="L23" s="16" t="s">
        <v>46</v>
      </c>
      <c r="M23" s="16"/>
      <c r="N23" s="16"/>
      <c r="O23" s="16"/>
      <c r="P23" s="13" t="s">
        <v>22</v>
      </c>
    </row>
    <row r="24" spans="1:17">
      <c r="A24" s="11"/>
      <c r="B24" s="3" t="s">
        <v>12</v>
      </c>
      <c r="C24" s="3" t="s">
        <v>12</v>
      </c>
      <c r="D24" s="3">
        <v>4.5690000000000001E-2</v>
      </c>
      <c r="E24" s="3">
        <v>0.45684999999999998</v>
      </c>
      <c r="F24" s="3">
        <v>0.20812</v>
      </c>
      <c r="G24" s="3">
        <v>0.20812</v>
      </c>
      <c r="H24" s="3">
        <v>5.076E-2</v>
      </c>
      <c r="I24" s="3">
        <v>1.523E-2</v>
      </c>
      <c r="J24" s="3">
        <v>1.0149999999999999E-2</v>
      </c>
      <c r="K24" s="3">
        <v>5.0800000000000003E-3</v>
      </c>
      <c r="L24" s="3">
        <v>0</v>
      </c>
      <c r="M24" s="3"/>
      <c r="N24" s="3"/>
      <c r="O24" s="3"/>
      <c r="P24" s="15"/>
    </row>
    <row r="25" spans="1:17">
      <c r="A25" s="11"/>
    </row>
    <row r="26" spans="1:17">
      <c r="A26" s="2" t="s">
        <v>24</v>
      </c>
    </row>
    <row r="27" spans="1:17">
      <c r="A27" s="11"/>
      <c r="B27" s="13" t="s">
        <v>19</v>
      </c>
      <c r="C27" s="13" t="s">
        <v>20</v>
      </c>
      <c r="D27" s="14" t="s">
        <v>26</v>
      </c>
      <c r="E27" s="14" t="s">
        <v>37</v>
      </c>
      <c r="F27" s="13" t="s">
        <v>22</v>
      </c>
    </row>
    <row r="28" spans="1:17">
      <c r="A28" s="11"/>
      <c r="B28" s="3" t="s">
        <v>12</v>
      </c>
      <c r="C28" s="3" t="s">
        <v>12</v>
      </c>
      <c r="D28" s="3">
        <v>0.34010152284263961</v>
      </c>
      <c r="E28" s="3">
        <f>1-D28</f>
        <v>0.65989847715736039</v>
      </c>
      <c r="F28" s="15"/>
    </row>
    <row r="29" spans="1:1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</sheetData>
  <dataValidations count="2">
    <dataValidation type="list" allowBlank="1" showInputMessage="1" showErrorMessage="1" sqref="D10 D18 D14" xr:uid="{55E85E55-8EF6-4FDB-A33F-11E95331F881}">
      <formula1>"Simulations,Gamma,Beta,Mean,Mean &amp; 95%CI,Min/Max,Mode/Min/Max"</formula1>
    </dataValidation>
    <dataValidation type="list" allowBlank="1" showInputMessage="1" showErrorMessage="1" sqref="D27:E27" xr:uid="{7891FA37-A01C-42AB-8B91-6AA560A5DDE7}">
      <formula1>"Both sexes,Male,Female"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652A-3657-4953-80B2-BFA73A86B544}">
  <sheetPr>
    <tabColor rgb="FFFFFFCC"/>
  </sheetPr>
  <dimension ref="A1:Q28"/>
  <sheetViews>
    <sheetView workbookViewId="0"/>
  </sheetViews>
  <sheetFormatPr defaultRowHeight="15"/>
  <cols>
    <col min="1" max="1" width="20.7109375" style="4" customWidth="1"/>
    <col min="2" max="16" width="15.7109375" style="4" customWidth="1"/>
    <col min="17" max="17" width="9.140625" style="4"/>
  </cols>
  <sheetData>
    <row r="1" spans="1:7">
      <c r="A1" s="2" t="s">
        <v>5</v>
      </c>
      <c r="B1" s="3" t="s">
        <v>34</v>
      </c>
    </row>
    <row r="2" spans="1:7">
      <c r="A2" s="2" t="s">
        <v>6</v>
      </c>
      <c r="B2" s="17" t="str">
        <f>VLOOKUP(B1,DM!A:F,2,FALSE)</f>
        <v>CFR_konzo_YLD</v>
      </c>
    </row>
    <row r="3" spans="1:7">
      <c r="A3" s="2" t="s">
        <v>4</v>
      </c>
      <c r="B3" s="17" t="str">
        <f>VLOOKUP(B1,DM!A:F,3,FALSE)</f>
        <v>PROB</v>
      </c>
    </row>
    <row r="4" spans="1:7">
      <c r="A4" s="2" t="s">
        <v>57</v>
      </c>
      <c r="B4" s="21">
        <f>VLOOKUP(B1,DM!A:F,4,FALSE)</f>
        <v>1</v>
      </c>
    </row>
    <row r="5" spans="1:7">
      <c r="A5" s="2" t="s">
        <v>7</v>
      </c>
      <c r="B5" s="17" t="str">
        <f>VLOOKUP(B1,DM!A:F,5,FALSE)</f>
        <v>YLL</v>
      </c>
    </row>
    <row r="6" spans="1:7">
      <c r="A6" s="2" t="s">
        <v>8</v>
      </c>
      <c r="B6" s="17" t="str">
        <f>VLOOKUP(B1,DM!A:F,6,FALSE)</f>
        <v>NO</v>
      </c>
      <c r="D6" s="18"/>
    </row>
    <row r="7" spans="1:7">
      <c r="A7" s="2" t="s">
        <v>17</v>
      </c>
      <c r="B7" s="8">
        <v>45751</v>
      </c>
    </row>
    <row r="8" spans="1:7">
      <c r="A8" s="2" t="s">
        <v>3</v>
      </c>
      <c r="B8" s="5"/>
    </row>
    <row r="9" spans="1:7">
      <c r="A9" s="11"/>
    </row>
    <row r="10" spans="1:7">
      <c r="A10" s="2" t="s">
        <v>18</v>
      </c>
      <c r="D10" s="12" t="s">
        <v>21</v>
      </c>
    </row>
    <row r="11" spans="1:7">
      <c r="A11" s="11"/>
      <c r="B11" s="13" t="s">
        <v>19</v>
      </c>
      <c r="C11" s="13" t="s">
        <v>20</v>
      </c>
      <c r="D11" s="14" t="str">
        <f>IF(D10="Simulations","File name",IF(D10="Mean","Mean",IF(D10="Gamma","Shape",IF(D10="Beta","Alpha",IF(D10="Mean &amp; 95%CI","Mean",IF(D10="Min/Max","Min",IF(D10="Mode/Min/Max","Mode","")))))))</f>
        <v>Mean</v>
      </c>
      <c r="E11" s="14" t="str">
        <f>IF(D10="Gamma","Rate",IF(D10="Beta","Beta",IF(D10="Mean &amp; 95%CI","2.5%",IF(D10="Min/Max","Max",IF(D10="Mode/Min/Max","Min","")))))</f>
        <v/>
      </c>
      <c r="F11" s="14" t="str">
        <f>IF(D10="Mean &amp; 95%CI","97.5%",IF(D10="Mode/Min/Max","Max",""))</f>
        <v/>
      </c>
      <c r="G11" s="13" t="s">
        <v>22</v>
      </c>
    </row>
    <row r="12" spans="1:7">
      <c r="A12" s="11"/>
      <c r="B12" s="3" t="s">
        <v>12</v>
      </c>
      <c r="C12" s="3" t="s">
        <v>12</v>
      </c>
      <c r="D12" s="3">
        <v>1</v>
      </c>
      <c r="E12" s="3"/>
      <c r="F12" s="3"/>
      <c r="G12" s="15" t="s">
        <v>29</v>
      </c>
    </row>
    <row r="13" spans="1:7">
      <c r="A13" s="11"/>
    </row>
    <row r="14" spans="1:7">
      <c r="A14" s="2" t="s">
        <v>0</v>
      </c>
      <c r="D14" s="12" t="s">
        <v>27</v>
      </c>
    </row>
    <row r="15" spans="1:7">
      <c r="A15" s="11"/>
      <c r="B15" s="13" t="s">
        <v>19</v>
      </c>
      <c r="C15" s="13" t="s">
        <v>20</v>
      </c>
      <c r="D15" s="14" t="str">
        <f>IF(D14="Mean","Mean",IF(D14="Gamma","Shape",IF(D14="Beta","Alpha",IF(D14="Mean &amp; 95%CI","Mean",IF(D14="Min/Max","Min",IF(D14="Mode/Min/Max","Mode",""))))))</f>
        <v/>
      </c>
      <c r="E15" s="14" t="str">
        <f>IF(D14="Gamma","Rate",IF(D14="Beta","Beta",IF(D14="Mean &amp; 95%CI","2.5%",IF(D14="Min/Max","Max",IF(D14="Mode/Min/Max","Min","")))))</f>
        <v/>
      </c>
      <c r="F15" s="14" t="str">
        <f>IF(D14="Mean &amp; 95%CI","97.5%",IF(D14="Mode/Min/Max","Max",""))</f>
        <v/>
      </c>
      <c r="G15" s="13" t="s">
        <v>22</v>
      </c>
    </row>
    <row r="16" spans="1:7">
      <c r="A16" s="11"/>
      <c r="B16" s="3" t="s">
        <v>12</v>
      </c>
      <c r="C16" s="3" t="s">
        <v>12</v>
      </c>
      <c r="D16" s="3"/>
      <c r="E16" s="3"/>
      <c r="F16" s="3"/>
      <c r="G16" s="15"/>
    </row>
    <row r="17" spans="1:16">
      <c r="A17" s="11"/>
    </row>
    <row r="18" spans="1:16">
      <c r="A18" s="2" t="s">
        <v>1</v>
      </c>
      <c r="D18" s="12" t="s">
        <v>21</v>
      </c>
    </row>
    <row r="19" spans="1:16">
      <c r="A19" s="11"/>
      <c r="B19" s="13" t="s">
        <v>19</v>
      </c>
      <c r="C19" s="13" t="s">
        <v>20</v>
      </c>
      <c r="D19" s="14" t="str">
        <f>IF(D18="Mean","Mean",IF(D18="Gamma","Shape",IF(D18="Beta","Alpha",IF(D18="Mean &amp; 95%CI","Mean",IF(D18="Min/Max","Min",IF(D18="Mode/Min/Max","Mode",""))))))</f>
        <v>Mean</v>
      </c>
      <c r="E19" s="14" t="str">
        <f>IF(D18="Gamma","Rate",IF(D18="Beta","Beta",IF(D18="Mean &amp; 95%CI","2.5%",IF(D18="Min/Max","Max",IF(D18="Mode/Min/Max","Min","")))))</f>
        <v/>
      </c>
      <c r="F19" s="14" t="str">
        <f>IF(D18="Mean &amp; 95%CI","97.5%",IF(D18="Mode/Min/Max","Max",""))</f>
        <v/>
      </c>
      <c r="G19" s="13" t="s">
        <v>22</v>
      </c>
    </row>
    <row r="20" spans="1:16">
      <c r="A20" s="11"/>
      <c r="B20" s="3" t="s">
        <v>12</v>
      </c>
      <c r="C20" s="3" t="s">
        <v>12</v>
      </c>
      <c r="D20" s="3" t="s">
        <v>9</v>
      </c>
      <c r="E20" s="3"/>
      <c r="F20" s="3"/>
      <c r="G20" s="15"/>
    </row>
    <row r="21" spans="1:16">
      <c r="A21" s="11"/>
    </row>
    <row r="22" spans="1:16">
      <c r="A22" s="2" t="s">
        <v>23</v>
      </c>
    </row>
    <row r="23" spans="1:16">
      <c r="A23" s="11"/>
      <c r="B23" s="13" t="s">
        <v>19</v>
      </c>
      <c r="C23" s="13" t="s">
        <v>20</v>
      </c>
      <c r="D23" s="16" t="s">
        <v>38</v>
      </c>
      <c r="E23" s="16" t="s">
        <v>39</v>
      </c>
      <c r="F23" s="16" t="s">
        <v>40</v>
      </c>
      <c r="G23" s="16" t="s">
        <v>41</v>
      </c>
      <c r="H23" s="16" t="s">
        <v>42</v>
      </c>
      <c r="I23" s="16" t="s">
        <v>43</v>
      </c>
      <c r="J23" s="16" t="s">
        <v>48</v>
      </c>
      <c r="K23" s="16"/>
      <c r="L23" s="16"/>
      <c r="M23" s="16"/>
      <c r="N23" s="16"/>
      <c r="O23" s="16"/>
      <c r="P23" s="13" t="s">
        <v>22</v>
      </c>
    </row>
    <row r="24" spans="1:16">
      <c r="A24" s="11"/>
      <c r="B24" s="3" t="s">
        <v>12</v>
      </c>
      <c r="C24" s="3" t="s">
        <v>12</v>
      </c>
      <c r="D24" s="3">
        <v>6.6699999999999995E-2</v>
      </c>
      <c r="E24" s="3">
        <v>0.2</v>
      </c>
      <c r="F24" s="3">
        <v>0.33329999999999999</v>
      </c>
      <c r="G24" s="3">
        <v>0.2666</v>
      </c>
      <c r="H24" s="3">
        <v>6.6699999999999995E-2</v>
      </c>
      <c r="I24" s="3">
        <v>6.6699999999999995E-2</v>
      </c>
      <c r="J24" s="3">
        <v>0</v>
      </c>
      <c r="K24" s="3"/>
      <c r="L24" s="3"/>
      <c r="M24" s="3"/>
      <c r="N24" s="3"/>
      <c r="O24" s="3"/>
      <c r="P24" s="15"/>
    </row>
    <row r="25" spans="1:16">
      <c r="A25" s="11"/>
    </row>
    <row r="26" spans="1:16">
      <c r="A26" s="2" t="s">
        <v>24</v>
      </c>
    </row>
    <row r="27" spans="1:16">
      <c r="A27" s="11"/>
      <c r="B27" s="13" t="s">
        <v>19</v>
      </c>
      <c r="C27" s="13" t="s">
        <v>20</v>
      </c>
      <c r="D27" s="14" t="s">
        <v>26</v>
      </c>
      <c r="E27" s="14" t="s">
        <v>37</v>
      </c>
      <c r="F27" s="13" t="s">
        <v>22</v>
      </c>
    </row>
    <row r="28" spans="1:16">
      <c r="A28" s="11"/>
      <c r="B28" s="3" t="s">
        <v>12</v>
      </c>
      <c r="C28" s="3" t="s">
        <v>12</v>
      </c>
      <c r="D28" s="3">
        <v>0.4</v>
      </c>
      <c r="E28" s="3">
        <v>0.6</v>
      </c>
      <c r="F28" s="15"/>
    </row>
  </sheetData>
  <dataValidations count="3">
    <dataValidation type="list" allowBlank="1" showInputMessage="1" showErrorMessage="1" sqref="D10 D18" xr:uid="{7C37C088-AB5F-4971-BDB9-FE45C0BDA153}">
      <formula1>"Simulations,Gamma,Beta,Mean,Mean &amp; 95%CI,Min/Max,Mode/Min/Max"</formula1>
    </dataValidation>
    <dataValidation type="list" allowBlank="1" showInputMessage="1" showErrorMessage="1" sqref="D27:E27" xr:uid="{FC6106FA-AFA8-4B8D-A7AF-B5741FC63A5B}">
      <formula1>"Both sexes,Male,Female"</formula1>
    </dataValidation>
    <dataValidation type="list" allowBlank="1" showInputMessage="1" showErrorMessage="1" sqref="D14" xr:uid="{D89E544C-400D-48C3-B57F-EF2BF07BF372}">
      <formula1>"Simulations,Gamma,Beta,Mean,Mean &amp; 95%CI,Min/Max,Mode/Min/Max,Lifelong"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DM</vt:lpstr>
      <vt:lpstr>INC_konzo</vt:lpstr>
      <vt:lpstr>SURV_konzo</vt:lpstr>
      <vt:lpstr>CFR_konzo_YLD</vt:lpstr>
      <vt:lpstr>CFR_konzo_YLL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2025-04-15T10:23:24Z</dcterms:modified>
</cp:coreProperties>
</file>